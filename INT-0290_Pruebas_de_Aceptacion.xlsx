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uebas de aceptación" sheetId="1" state="visible" r:id="rId3"/>
    <sheet name="Resumen" sheetId="2" state="visible" r:id="rId4"/>
  </sheets>
  <definedNames>
    <definedName function="false" hidden="true" localSheetId="0" name="_xlnm._FilterDatabase" vbProcedure="false">'Pruebas de aceptación'!$A$1:$L$51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<sst xmlns="http://schemas.openxmlformats.org/spreadsheetml/2006/main" count="387" uniqueCount="261">
  <si>
    <t xml:space="preserve">N°</t>
  </si>
  <si>
    <t xml:space="preserve">Sección del documento</t>
  </si>
  <si>
    <t xml:space="preserve">Requisito (texto del documento)</t>
  </si>
  <si>
    <t xml:space="preserve">Caso de prueba</t>
  </si>
  <si>
    <t xml:space="preserve">Datos de entrada</t>
  </si>
  <si>
    <t xml:space="preserve">Resultado esperado</t>
  </si>
  <si>
    <t xml:space="preserve">Evidencia</t>
  </si>
  <si>
    <t xml:space="preserve">¿Ejecutado?</t>
  </si>
  <si>
    <t xml:space="preserve">Resultado obtenido</t>
  </si>
  <si>
    <t xml:space="preserve">¿Aprobado?</t>
  </si>
  <si>
    <t xml:space="preserve">Fecha</t>
  </si>
  <si>
    <t xml:space="preserve">Responsable</t>
  </si>
  <si>
    <t xml:space="preserve">Anexo 1 - Equivalencias de frecuencia de pago</t>
  </si>
  <si>
    <t xml:space="preserve">Frecuencia 1 -&gt; MONTHLY (Estándar): 'Cada 1 Mes(es) se realiza un pago' / 'Cada pago se divide por 1 periodo(s) por rango de fecha'</t>
  </si>
  <si>
    <t xml:space="preserve">Línea de pago con frecuencia estándar MONTHLY</t>
  </si>
  <si>
    <t xml:space="preserve">Frecuencia FLA = MONTHLY, Attribute_number_1_l = 1, Start Date y End Date informados</t>
  </si>
  <si>
    <t xml:space="preserve">Un solo pago en FLA con frecuencia MONTHLY, rango de fechas de la línea y Attribute Number 1 = 1.</t>
  </si>
  <si>
    <t xml:space="preserve">Reporte BIP + CSV Payments + contrato en FLA</t>
  </si>
  <si>
    <t xml:space="preserve">No</t>
  </si>
  <si>
    <t xml:space="preserve">Frecuencia 3 -&gt; QUARTERLY (Estándar): 'Cada 3 Mes(es) se realiza un pago' / 'Cada pago se divide por 3 periodo(s) por rango de fecha'</t>
  </si>
  <si>
    <t xml:space="preserve">Línea de pago con frecuencia estándar QUARTERLY</t>
  </si>
  <si>
    <t xml:space="preserve">Frecuencia FLA = QUARTERLY, Attribute_number_1_l = 3, Start Date y End Date informados</t>
  </si>
  <si>
    <t xml:space="preserve">Un solo pago en FLA con frecuencia QUARTERLY, rango de fechas de la línea y Attribute Number 1 = 3.</t>
  </si>
  <si>
    <t xml:space="preserve">Frecuencia 6 -&gt; SEMI_ANNUALLY (Estándar): 'Cada 6 Mes(es) se realiza un pago' / 'Cada pago se divide por 6 periodo(s) por rango de fecha'</t>
  </si>
  <si>
    <t xml:space="preserve">Línea de pago con frecuencia estándar SEMI_ANNUALLY</t>
  </si>
  <si>
    <t xml:space="preserve">Frecuencia FLA = SEMI_ANNUALLY, Attribute_number_1_l = 6, Start Date y End Date informados</t>
  </si>
  <si>
    <t xml:space="preserve">Un solo pago en FLA con frecuencia SEMI_ANNUALLY, rango de fechas de la línea y Attribute Number 1 = 6.</t>
  </si>
  <si>
    <t xml:space="preserve">Frecuencia 12 -&gt; ANNUALLY (Estándar): 'Cada 12 Mes(es) se realiza un pago' / 'Cada pago se divide por 12 periodo(s) por rango de fecha'</t>
  </si>
  <si>
    <t xml:space="preserve">Línea de pago con frecuencia estándar ANNUALLY</t>
  </si>
  <si>
    <t xml:space="preserve">Frecuencia FLA = ANNUALLY, Attribute_number_1_l = 12, Start Date y End Date informados</t>
  </si>
  <si>
    <t xml:space="preserve">Un solo pago en FLA con frecuencia ANNUALLY, rango de fechas de la línea y Attribute Number 1 = 12.</t>
  </si>
  <si>
    <t xml:space="preserve">Frecuencia 2 -&gt; ONE_TIME (solución alternativa): 'Cada 2 Meses se realiza un pago' / 'Cada pago se divide por 2 periodos'</t>
  </si>
  <si>
    <t xml:space="preserve">Apertura de línea ONE_TIME con frecuencia 2 meses</t>
  </si>
  <si>
    <t xml:space="preserve">Frecuencia FLA = ONE_TIME, Attribute_number_1_l = 2, plazo de la línea que contenga al menos 2 periodos de 2 meses</t>
  </si>
  <si>
    <t xml:space="preserve">El reporte BI Publisher abre la línea en un pago ONE_TIME cada 2 meses dentro del plazo; cada pago con el monto de la línea y Attribute Number 1 = 2. FLA crea el contrato con todos los pagos.</t>
  </si>
  <si>
    <t xml:space="preserve">Reporte BIP + CSV Payments + calendario de pagos en FLA</t>
  </si>
  <si>
    <t xml:space="preserve">Frecuencia 4 -&gt; ONE_TIME (solución alternativa): 'Cada 4 Meses se realiza un pago' / 'Cada pago se divide por 4 periodos'</t>
  </si>
  <si>
    <t xml:space="preserve">Apertura de línea ONE_TIME con frecuencia 4 meses</t>
  </si>
  <si>
    <t xml:space="preserve">Frecuencia FLA = ONE_TIME, Attribute_number_1_l = 4, plazo de la línea que contenga al menos 2 periodos de 4 meses</t>
  </si>
  <si>
    <t xml:space="preserve">El reporte BI Publisher abre la línea en un pago ONE_TIME cada 4 meses dentro del plazo; cada pago con el monto de la línea y Attribute Number 1 = 4. FLA crea el contrato con todos los pagos.</t>
  </si>
  <si>
    <t xml:space="preserve">Frecuencia 24 -&gt; ONE_TIME (solución alternativa): 'Cada 24 Meses se realiza un pago' / 'Cada pago se divide por 24 periodos'</t>
  </si>
  <si>
    <t xml:space="preserve">Apertura de línea ONE_TIME con frecuencia 24 meses</t>
  </si>
  <si>
    <t xml:space="preserve">Frecuencia FLA = ONE_TIME, Attribute_number_1_l = 24, plazo de la línea que contenga al menos 2 periodos de 24 meses</t>
  </si>
  <si>
    <t xml:space="preserve">El reporte BI Publisher abre la línea en un pago ONE_TIME cada 24 meses dentro del plazo; cada pago con el monto de la línea y Attribute Number 1 = 24. FLA crea el contrato con todos los pagos.</t>
  </si>
  <si>
    <t xml:space="preserve">Frecuencia 120 -&gt; ONE_TIME (solución alternativa): 'Cada 120 Meses se realiza un pago' / 'Cada pago se divide por 120 periodos'</t>
  </si>
  <si>
    <t xml:space="preserve">Apertura de línea ONE_TIME con frecuencia 120 meses</t>
  </si>
  <si>
    <t xml:space="preserve">Frecuencia FLA = ONE_TIME, Attribute_number_1_l = 120, plazo de la línea que contenga al menos 2 periodos de 120 meses</t>
  </si>
  <si>
    <t xml:space="preserve">El reporte BI Publisher abre la línea en un pago ONE_TIME cada 120 meses dentro del plazo; cada pago con el monto de la línea y Attribute Number 1 = 120. FLA crea el contrato con todos los pagos.</t>
  </si>
  <si>
    <t xml:space="preserve">'La integración (OIC) consumirá el reporte con la Frecuencia de pago FLA entregada por Unifier'</t>
  </si>
  <si>
    <t xml:space="preserve">Frecuencia FLA entregada por Unifier</t>
  </si>
  <si>
    <t xml:space="preserve">Request de Unifier con el campo Frecuencia informado</t>
  </si>
  <si>
    <t xml:space="preserve">OIC usa la Frecuencia FLA enviada por Unifier para la apertura.</t>
  </si>
  <si>
    <t xml:space="preserve">Activity Stream OIC</t>
  </si>
  <si>
    <t xml:space="preserve">'Esta apertura … se llevará a cabo mediante un reporte BI Publisher … y traspasarlos a la estructura FBDI'</t>
  </si>
  <si>
    <t xml:space="preserve">Apertura ejecutada por BI Publisher</t>
  </si>
  <si>
    <t xml:space="preserve">Línea ONE_TIME</t>
  </si>
  <si>
    <t xml:space="preserve">La apertura la realiza el reporte BI Publisher (no lógica en OIC) y su salida se traspasa a la hoja Payments del FBDI.</t>
  </si>
  <si>
    <t xml:space="preserve">Activity Stream OIC (invocación BIP) + CSV Payments</t>
  </si>
  <si>
    <t xml:space="preserve">Anexo 2 - Apertura de contratos</t>
  </si>
  <si>
    <t xml:space="preserve">Unifier abre el contrato según Nombre de la parte (Arrendador), Moneda y Tasa de descuento; cada combinación se presenta como contrato separado</t>
  </si>
  <si>
    <t xml:space="preserve">Contrato Unifier con más de una combinación arrendador / moneda / tasa</t>
  </si>
  <si>
    <t xml:space="preserve">Contrato en Unifier con 2 combinaciones (p. ej. 2 monedas)</t>
  </si>
  <si>
    <t xml:space="preserve">Llegan como contratos separados en el reporte y FLA crea un contrato por combinación.</t>
  </si>
  <si>
    <t xml:space="preserve">Request Unifier + contratos en FLA</t>
  </si>
  <si>
    <t xml:space="preserve">'La forma de diferenciarlos será a través del número de contrato … concatenará el Nro de contrato original (Unifier), junto con los atributos acordados'</t>
  </si>
  <si>
    <t xml:space="preserve">Número de contrato concatenado</t>
  </si>
  <si>
    <t xml:space="preserve">Caso anterior</t>
  </si>
  <si>
    <t xml:space="preserve">Cada contrato en FLA tiene Lease Number = Nro contrato Unifier concatenado con los atributos acordados; son únicos.</t>
  </si>
  <si>
    <t xml:space="preserve">Contratos en FLA</t>
  </si>
  <si>
    <t xml:space="preserve">'En Lease Accounting se disponibilizará el campo Nro de contrato Unifier … este campo también deberá ser considerado en el reporte'</t>
  </si>
  <si>
    <t xml:space="preserve">Campo Nro de contrato Unifier</t>
  </si>
  <si>
    <t xml:space="preserve">Ambos contratos en FLA tienen informado el mismo Nro de contrato Unifier.</t>
  </si>
  <si>
    <t xml:space="preserve">Anexo 3 - Manejo del gasto correctivo</t>
  </si>
  <si>
    <t xml:space="preserve">'La integración … deberá generar un cronograma adicional por cada contrato creado, exceptuando los contratos de desmantelamiento'</t>
  </si>
  <si>
    <t xml:space="preserve">Cronograma de gasto correctivo en contrato de arrendamiento</t>
  </si>
  <si>
    <t xml:space="preserve">Contrato de arrendamiento (no desmantelamiento)</t>
  </si>
  <si>
    <t xml:space="preserve">El contrato en FLA tiene, además de sus pagos, el cronograma adicional con la plantilla de gasto correctivo.</t>
  </si>
  <si>
    <t xml:space="preserve">CSV Payments + contrato en FLA</t>
  </si>
  <si>
    <t xml:space="preserve">'Exceptuando los contratos de desmantelamiento'</t>
  </si>
  <si>
    <t xml:space="preserve">Contrato de desmantelamiento sin gasto correctivo</t>
  </si>
  <si>
    <t xml:space="preserve">Contrato con tipo DESMANTELAMIENTO</t>
  </si>
  <si>
    <t xml:space="preserve">No se genera cronograma de gasto correctivo.</t>
  </si>
  <si>
    <t xml:space="preserve">'La frecuencia que usará esta plantilla será mensual cuando la frecuencia de pago de la línea original sea ONE_TIME … la cuota se calculará tomando el monto de pago de la línea original dividida por el campo Attribute Number 1'</t>
  </si>
  <si>
    <t xml:space="preserve">Gasto correctivo de línea ONE_TIME</t>
  </si>
  <si>
    <t xml:space="preserve">Línea ONE_TIME, monto 100.000, Attribute Number 1 = 4</t>
  </si>
  <si>
    <t xml:space="preserve">Cronograma de gasto correctivo mensual con cuota = 100.000 / 4 = 25.000.</t>
  </si>
  <si>
    <t xml:space="preserve">'Si la frecuencia de pago es estándar, solo se replicará la línea de pago original con el nombre de la plantilla de gasto correctivo'</t>
  </si>
  <si>
    <t xml:space="preserve">Gasto correctivo de línea estándar</t>
  </si>
  <si>
    <t xml:space="preserve">Línea MONTHLY / QUARTERLY / SEMI_ANNUALLY / ANNUALLY</t>
  </si>
  <si>
    <t xml:space="preserve">Se replica la línea original (misma frecuencia, fechas y monto) con la plantilla de gasto correctivo.</t>
  </si>
  <si>
    <t xml:space="preserve">'Para crear ese cronograma adicional se utilizará una plantilla que tendrá la parametrización necesaria para que el proceso fluya sin intervención directa de los usuarios'</t>
  </si>
  <si>
    <t xml:space="preserve">Plantilla de gasto correctivo</t>
  </si>
  <si>
    <t xml:space="preserve">Cualquier contrato de arrendamiento</t>
  </si>
  <si>
    <t xml:space="preserve">El cronograma adicional usa la plantilla de gasto correctivo configurada en FLA y se crea sin intervención manual.</t>
  </si>
  <si>
    <t xml:space="preserve">Contrato en FLA</t>
  </si>
  <si>
    <t xml:space="preserve">Escenario A: Carga masiva exitosa</t>
  </si>
  <si>
    <t xml:space="preserve">Pasos 1 a 6 del Escenario A</t>
  </si>
  <si>
    <t xml:space="preserve">Carga masiva exitosa de punta a punta</t>
  </si>
  <si>
    <t xml:space="preserve">Lote de contratos IFRS 16 válidos</t>
  </si>
  <si>
    <t xml:space="preserve">OIC valida y transforma a FBDI; la importación se ejecuta automáticamente; los contratos quedan en FLA; se envía correo de resultado exitoso; Unifier recibe la confirmación y actualiza el estado del contrato.</t>
  </si>
  <si>
    <t xml:space="preserve">Contratos en FLA + correo + estado en Unifier</t>
  </si>
  <si>
    <t xml:space="preserve">Escenario B: Carga con errores</t>
  </si>
  <si>
    <t xml:space="preserve">Pasos 1 a 6 del Escenario B</t>
  </si>
  <si>
    <t xml:space="preserve">Carga con errores de datos de Unifier</t>
  </si>
  <si>
    <t xml:space="preserve">Lote con campos obligatorios vacíos, valores no válidos o referencias inexistentes</t>
  </si>
  <si>
    <t xml:space="preserve">OIC o FLA detectan los errores; la carga se rechaza total o parcialmente; los errores quedan en logs y panel de excepciones; se envía correo con el detalle; Unifier recibe la respuesta y actualiza el estado.</t>
  </si>
  <si>
    <t xml:space="preserve">Logs + Import Exceptions + correo + estado en Unifier</t>
  </si>
  <si>
    <t xml:space="preserve">Paso 5: error de configuración o reglas funcionales de FLA</t>
  </si>
  <si>
    <t xml:space="preserve">Carga con error de configuración FLA</t>
  </si>
  <si>
    <t xml:space="preserve">Lote con un dato maestro no configurado en FLA</t>
  </si>
  <si>
    <t xml:space="preserve">Se corrige la configuración en FLA y se reejecuta la importación con resultado exitoso.</t>
  </si>
  <si>
    <t xml:space="preserve">Reporte de importación antes y después</t>
  </si>
  <si>
    <t xml:space="preserve">Escenario C: Reprocesamiento y ejecución manual</t>
  </si>
  <si>
    <t xml:space="preserve">Reprocesar archivos rechazados / validar correcciones / cargas puntuales</t>
  </si>
  <si>
    <t xml:space="preserve">Reprocesamiento manual</t>
  </si>
  <si>
    <t xml:space="preserve">Archivo previamente rechazado, ya corregido</t>
  </si>
  <si>
    <t xml:space="preserve">La importación ejecutada manualmente aplica los mismos controles y validaciones y crea los contratos.</t>
  </si>
  <si>
    <t xml:space="preserve">Reporte de importación</t>
  </si>
  <si>
    <t xml:space="preserve">Carga del archivo</t>
  </si>
  <si>
    <t xml:space="preserve">'Se deberá programar la ejecución diaria de … Load Interface File for Import … Process Lease Actions'</t>
  </si>
  <si>
    <t xml:space="preserve">Ejecución diaria programada</t>
  </si>
  <si>
    <t xml:space="preserve">Programación configurada</t>
  </si>
  <si>
    <t xml:space="preserve">El proceso se ejecuta diariamente sin intervención.</t>
  </si>
  <si>
    <t xml:space="preserve">Historial de procesos programados</t>
  </si>
  <si>
    <t xml:space="preserve">'El sistema deberá recibir, identificar y procesar correctamente cada archivo CSV … asegurando su correcta asociación a la unidad de negocio y entidad legal'</t>
  </si>
  <si>
    <t xml:space="preserve">Asociación a BU y entidad legal</t>
  </si>
  <si>
    <t xml:space="preserve">Lote válido</t>
  </si>
  <si>
    <t xml:space="preserve">Cada contrato queda en la unidad de negocio y entidad legal informadas.</t>
  </si>
  <si>
    <t xml:space="preserve">Logs de auditoría por ejecución: usuario, fecha y hora, unidad de negocio, estado final</t>
  </si>
  <si>
    <t xml:space="preserve">Log de auditoría</t>
  </si>
  <si>
    <t xml:space="preserve">Cualquier ejecución</t>
  </si>
  <si>
    <t xml:space="preserve">El log registra usuario, fecha y hora, unidad de negocio y estado final (exitoso / con errores).</t>
  </si>
  <si>
    <t xml:space="preserve">Log</t>
  </si>
  <si>
    <t xml:space="preserve">Procesamiento de importación</t>
  </si>
  <si>
    <t xml:space="preserve">OIC valida la estructura y consistencia del archivo recibido desde Unifier</t>
  </si>
  <si>
    <t xml:space="preserve">Validación de estructura en OIC</t>
  </si>
  <si>
    <t xml:space="preserve">Request con estructura inválida</t>
  </si>
  <si>
    <t xml:space="preserve">OIC detecta el error antes de generar el FBDI.</t>
  </si>
  <si>
    <t xml:space="preserve">OIC identifica y clasifica errores de formato, estructura o datos inconsistentes</t>
  </si>
  <si>
    <t xml:space="preserve">Clasificación de errores en OIC</t>
  </si>
  <si>
    <t xml:space="preserve">Request con datos inconsistentes</t>
  </si>
  <si>
    <t xml:space="preserve">OIC registra el error con su clasificación.</t>
  </si>
  <si>
    <t xml:space="preserve">Registro de errores OIC</t>
  </si>
  <si>
    <t xml:space="preserve">OIC transforma la información al formato CSV de las plantillas FBDI y deja los archivos disponibles</t>
  </si>
  <si>
    <t xml:space="preserve">Generación del FBDI</t>
  </si>
  <si>
    <t xml:space="preserve">Se genera el ZIP con los CSV de las plantillas FBDI y queda disponible para la importación.</t>
  </si>
  <si>
    <t xml:space="preserve">ZIP generado + UCM</t>
  </si>
  <si>
    <t xml:space="preserve">Load Interface File for Import e Import Leases ejecutados automáticamente, sin intervención del usuario</t>
  </si>
  <si>
    <t xml:space="preserve">Importación automática</t>
  </si>
  <si>
    <t xml:space="preserve">Ambos procesos se ejecutan automáticamente y crean los contratos (Bulk Lease Creation - New Leases).</t>
  </si>
  <si>
    <t xml:space="preserve">Procesos ESS + contratos en FLA</t>
  </si>
  <si>
    <t xml:space="preserve">'El sistema deberá permitir la ejecución manual del proceso de importación en cualquier momento'</t>
  </si>
  <si>
    <t xml:space="preserve">Ejecución manual</t>
  </si>
  <si>
    <t xml:space="preserve">Ejecución manual de la importación</t>
  </si>
  <si>
    <t xml:space="preserve">La ejecución manual aplica los mismos controles y validaciones que la automática.</t>
  </si>
  <si>
    <t xml:space="preserve">Generación de datos</t>
  </si>
  <si>
    <t xml:space="preserve">'Todos los campos definidos como obligatorios … deberán ser informados'</t>
  </si>
  <si>
    <t xml:space="preserve">Campos obligatorios</t>
  </si>
  <si>
    <t xml:space="preserve">Contrato con un campo obligatorio vacío</t>
  </si>
  <si>
    <t xml:space="preserve">El contrato no se crea y se informa el error.</t>
  </si>
  <si>
    <t xml:space="preserve">Registro de errores + notificación</t>
  </si>
  <si>
    <t xml:space="preserve">'No se permitirá la creación de contratos de arrendamiento con fecha de inicio futura … deberán ser rechazados durante el proceso de validación'</t>
  </si>
  <si>
    <t xml:space="preserve">Fecha de inicio futura</t>
  </si>
  <si>
    <t xml:space="preserve">Contrato con Lease Start Date posterior a la fecha de ejecución</t>
  </si>
  <si>
    <t xml:space="preserve">El contrato se rechaza durante la validación.</t>
  </si>
  <si>
    <t xml:space="preserve">'Oracle Unifier deberá recibir la respuesta del proceso de carga … permitiendo marcar y actualizar el estado del contrato integrado'</t>
  </si>
  <si>
    <t xml:space="preserve">Respuesta de estado a Unifier</t>
  </si>
  <si>
    <t xml:space="preserve">Un contrato cargado y uno rechazado</t>
  </si>
  <si>
    <t xml:space="preserve">Unifier recibe el estado de cada contrato (cargado exitosamente / con error).</t>
  </si>
  <si>
    <t xml:space="preserve">Estado del contrato en Unifier</t>
  </si>
  <si>
    <t xml:space="preserve">Validación de datos</t>
  </si>
  <si>
    <t xml:space="preserve">Validar el formato del archivo y la estructura de las columnas según las plantillas FBDI</t>
  </si>
  <si>
    <t xml:space="preserve">Formato y estructura FBDI</t>
  </si>
  <si>
    <t xml:space="preserve">Los CSV cumplen la estructura de la plantilla y FLA los carga sin errores de formato.</t>
  </si>
  <si>
    <t xml:space="preserve">Reporte de carga</t>
  </si>
  <si>
    <t xml:space="preserve">Integridad referencial entre hojas (Lease Payments y Payment Lines referencian un Lease Header válido)</t>
  </si>
  <si>
    <t xml:space="preserve">Integridad referencial</t>
  </si>
  <si>
    <t xml:space="preserve">Sin registros huérfanos (Payments, Assets sin Lease).</t>
  </si>
  <si>
    <t xml:space="preserve">Reporte de importación (secciones 'without Leases' en 0)</t>
  </si>
  <si>
    <t xml:space="preserve">Unicidad del Lease Number por unidad de negocio durante su período activo</t>
  </si>
  <si>
    <t xml:space="preserve">Lease Number duplicado</t>
  </si>
  <si>
    <t xml:space="preserve">Contrato con un Lease Number ya existente en el BU</t>
  </si>
  <si>
    <t xml:space="preserve">El contrato duplicado no se crea.</t>
  </si>
  <si>
    <t xml:space="preserve">Errores atribuibles a Unifier: OIC notifica el rechazo a Unifier con el detalle del error</t>
  </si>
  <si>
    <t xml:space="preserve">Notificación a Unifier</t>
  </si>
  <si>
    <t xml:space="preserve">Contrato con dato inválido enviado por Unifier</t>
  </si>
  <si>
    <t xml:space="preserve">Unifier recibe el rechazo con el detalle del error para su corrección y reenvío.</t>
  </si>
  <si>
    <t xml:space="preserve">Notificación / estado en Unifier</t>
  </si>
  <si>
    <t xml:space="preserve">Errores de configuración o datos maestros de FLA: OIC notifica al equipo responsable de FLA</t>
  </si>
  <si>
    <t xml:space="preserve">Notificación al equipo FLA</t>
  </si>
  <si>
    <t xml:space="preserve">Contrato con proveedor, BU o clasificación no configurados</t>
  </si>
  <si>
    <t xml:space="preserve">El equipo FLA recibe la notificación del rechazo.</t>
  </si>
  <si>
    <t xml:space="preserve">Notificación</t>
  </si>
  <si>
    <t xml:space="preserve">'El proceso de validación deberá asegurar que no se generen contratos parciales en Oracle Fusion Cloud'</t>
  </si>
  <si>
    <t xml:space="preserve">Sin contratos parciales</t>
  </si>
  <si>
    <t xml:space="preserve">Contrato con una línea de pago válida y otra con error</t>
  </si>
  <si>
    <t xml:space="preserve">El contrato no se crea en FLA (ni cabecera, ni activo, ni pagos).</t>
  </si>
  <si>
    <t xml:space="preserve">CSV + contrato inexistente en FLA</t>
  </si>
  <si>
    <t xml:space="preserve">Datos requeridos</t>
  </si>
  <si>
    <t xml:space="preserve">OIC asigna la tasa de descuento en el FBDI (moneda - años - A, p. ej. CLP-10-A) con correspondencia exacta en FLA</t>
  </si>
  <si>
    <t xml:space="preserve">Asignación de tasa de descuento</t>
  </si>
  <si>
    <t xml:space="preserve">Contrato con moneda y plazo con tasa configurada</t>
  </si>
  <si>
    <t xml:space="preserve">El contrato en FLA queda con la tasa correspondiente.</t>
  </si>
  <si>
    <t xml:space="preserve">'En caso de que la tasa no exista en FLA, el proceso de importación generará un error que deberá ser gestionado conforme al esquema de manejo de excepciones'</t>
  </si>
  <si>
    <t xml:space="preserve">Tasa de descuento inexistente</t>
  </si>
  <si>
    <t xml:space="preserve">Contrato con una tasa no configurada en FLA</t>
  </si>
  <si>
    <t xml:space="preserve">La importación rechaza el contrato y el error se gestiona y notifica.</t>
  </si>
  <si>
    <t xml:space="preserve">Reporte de importación + notificación</t>
  </si>
  <si>
    <t xml:space="preserve">Contratos de desmantelamiento: el Valor Futuro, el plazo y la tasa se ingresan en Unifier; OIC no realiza cálculos</t>
  </si>
  <si>
    <t xml:space="preserve">Contrato de desmantelamiento</t>
  </si>
  <si>
    <t xml:space="preserve">Contrato de desmantelamiento con VF informado por Unifier</t>
  </si>
  <si>
    <t xml:space="preserve">El contrato se crea en FLA como tipo independiente con el VF enviado por Unifier, sin recálculo en OIC.</t>
  </si>
  <si>
    <t xml:space="preserve">Request + contrato en FLA</t>
  </si>
  <si>
    <t xml:space="preserve">Alcance</t>
  </si>
  <si>
    <t xml:space="preserve">'Integración exclusiva de contratos que deban ser contabilizados bajo la norma IFRS 16'</t>
  </si>
  <si>
    <t xml:space="preserve">Solo contratos IFRS 16</t>
  </si>
  <si>
    <t xml:space="preserve">Lote con contratos IFRS 16</t>
  </si>
  <si>
    <t xml:space="preserve">Se crean en FLA los contratos IFRS 16 enviados por Unifier.</t>
  </si>
  <si>
    <t xml:space="preserve">Registro de errores</t>
  </si>
  <si>
    <t xml:space="preserve">Errores visibles en el panel estándar Import Exceptions por contrato y registro</t>
  </si>
  <si>
    <t xml:space="preserve">Panel Import Exceptions</t>
  </si>
  <si>
    <t xml:space="preserve">Lote con errores</t>
  </si>
  <si>
    <t xml:space="preserve">Cada error aparece en Import Exceptions con contrato y registro.</t>
  </si>
  <si>
    <t xml:space="preserve">Import Exceptions</t>
  </si>
  <si>
    <t xml:space="preserve">OIC registra los errores de validación y transformación antes de la carga en FLA</t>
  </si>
  <si>
    <t xml:space="preserve">Registro de errores en OIC</t>
  </si>
  <si>
    <t xml:space="preserve">Lote con errores de validación</t>
  </si>
  <si>
    <t xml:space="preserve">El error queda registrado en OIC con su origen.</t>
  </si>
  <si>
    <t xml:space="preserve">Trazabilidad del error: contrato afectado, origen (Unifier, OIC o FLA), acción correctiva, estado final</t>
  </si>
  <si>
    <t xml:space="preserve">Trazabilidad del error</t>
  </si>
  <si>
    <t xml:space="preserve">Para cada error se identifica contrato, origen, acción correctiva y estado final del reprocesamiento.</t>
  </si>
  <si>
    <t xml:space="preserve">Mensajería y notificaciones</t>
  </si>
  <si>
    <t xml:space="preserve">Notificar el resultado de cada ejecución (automática o manual): exitosa, con advertencias o fallida</t>
  </si>
  <si>
    <t xml:space="preserve">Notificación de resultado</t>
  </si>
  <si>
    <t xml:space="preserve">Una ejecución exitosa y una fallida</t>
  </si>
  <si>
    <t xml:space="preserve">Se notifica el resultado de cada ejecución con su estado.</t>
  </si>
  <si>
    <t xml:space="preserve">Notificaciones</t>
  </si>
  <si>
    <t xml:space="preserve">Detalle del error: contrato y registro, tipo de error, origen (Unifier, OIC o FLA)</t>
  </si>
  <si>
    <t xml:space="preserve">Detalle en la notificación de error</t>
  </si>
  <si>
    <t xml:space="preserve">Ejecución con errores</t>
  </si>
  <si>
    <t xml:space="preserve">La notificación indica contrato y registro, tipo de error y origen.</t>
  </si>
  <si>
    <t xml:space="preserve">Reporte descargable con el historial de ejecuciones, incluyendo errores y advertencias</t>
  </si>
  <si>
    <t xml:space="preserve">Reporte de historial</t>
  </si>
  <si>
    <t xml:space="preserve">Varias ejecuciones</t>
  </si>
  <si>
    <t xml:space="preserve">Existe un reporte descargable con el historial, errores y advertencias.</t>
  </si>
  <si>
    <t xml:space="preserve">Reporte</t>
  </si>
  <si>
    <t xml:space="preserve">Trazabilidad de punta a punta, desde la recepción en OIC hasta la creación o rechazo del contrato en FLA</t>
  </si>
  <si>
    <t xml:space="preserve">Trazabilidad de punta a punta</t>
  </si>
  <si>
    <t xml:space="preserve">Un contrato creado y uno rechazado</t>
  </si>
  <si>
    <t xml:space="preserve">Se puede seguir cada contrato desde la recepción en OIC hasta su creación o rechazo en FLA.</t>
  </si>
  <si>
    <t xml:space="preserve">Notificaciones + reportes</t>
  </si>
  <si>
    <t xml:space="preserve">Pruebas de aceptación - INT-0290 Creación de Contratos INBOUND</t>
  </si>
  <si>
    <t xml:space="preserve">Casos</t>
  </si>
  <si>
    <t xml:space="preserve">Ejecutados</t>
  </si>
  <si>
    <t xml:space="preserve">Aprobados</t>
  </si>
  <si>
    <t xml:space="preserve">% aprobado</t>
  </si>
  <si>
    <t xml:space="preserve">TOTAL</t>
  </si>
  <si>
    <t xml:space="preserve">Integración aceptada</t>
  </si>
  <si>
    <t xml:space="preserve">Criterio: la integración se acepta cuando todos los casos tienen ¿Aprobado? = Sí.</t>
  </si>
  <si>
    <t xml:space="preserve">Completar solo las columnas amarillas de la hoja 'Pruebas de aceptación'. Ejemplo de llenado: ¿Ejecutado? = Sí | Resultado obtenido = 'Contrato CLP-ST-CL-000XX7 creado con 6 pagos' | ¿Aprobado? = Sí | Fecha = 15/10/2026 | Responsable = nombre.</t>
  </si>
  <si>
    <t xml:space="preserve">Fuente: LS_INT-0290_ATR_LA_Unifier_Creación_Contratos_INBOUND_v3.1. Cada caso cita la sección y el texto del requisito.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</si>
</sst>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E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52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30"/>
    <col collapsed="false" customWidth="true" hidden="false" outlineLevel="0" max="11" min="10" style="0" width="11"/>
    <col collapsed="false" customWidth="true" hidden="false" outlineLevel="0" max="12" min="12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2.8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3"/>
      <c r="J2" s="3"/>
      <c r="K2" s="3"/>
      <c r="L2" s="3"/>
    </row>
    <row r="3" customFormat="false" ht="32.8" hidden="false" customHeight="false" outlineLevel="0" collapsed="false">
      <c r="A3" s="2" t="n">
        <v>2</v>
      </c>
      <c r="B3" s="2" t="s">
        <v>12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17</v>
      </c>
      <c r="H3" s="3" t="s">
        <v>18</v>
      </c>
      <c r="I3" s="3"/>
      <c r="J3" s="3"/>
      <c r="K3" s="3"/>
      <c r="L3" s="3"/>
    </row>
    <row r="4" customFormat="false" ht="32.8" hidden="false" customHeight="false" outlineLevel="0" collapsed="false">
      <c r="A4" s="2" t="n">
        <v>3</v>
      </c>
      <c r="B4" s="2" t="s">
        <v>12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17</v>
      </c>
      <c r="H4" s="3" t="s">
        <v>18</v>
      </c>
      <c r="I4" s="3"/>
      <c r="J4" s="3"/>
      <c r="K4" s="3"/>
      <c r="L4" s="3"/>
    </row>
    <row r="5" customFormat="false" ht="32.8" hidden="false" customHeight="false" outlineLevel="0" collapsed="false">
      <c r="A5" s="2" t="n">
        <v>4</v>
      </c>
      <c r="B5" s="2" t="s">
        <v>12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17</v>
      </c>
      <c r="H5" s="3" t="s">
        <v>18</v>
      </c>
      <c r="I5" s="3"/>
      <c r="J5" s="3"/>
      <c r="K5" s="3"/>
      <c r="L5" s="3"/>
    </row>
    <row r="6" customFormat="false" ht="43.25" hidden="false" customHeight="false" outlineLevel="0" collapsed="false">
      <c r="A6" s="2" t="n">
        <v>5</v>
      </c>
      <c r="B6" s="2" t="s">
        <v>12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3" t="s">
        <v>18</v>
      </c>
      <c r="I6" s="3"/>
      <c r="J6" s="3"/>
      <c r="K6" s="3"/>
      <c r="L6" s="3"/>
    </row>
    <row r="7" customFormat="false" ht="43.25" hidden="false" customHeight="false" outlineLevel="0" collapsed="false">
      <c r="A7" s="2" t="n">
        <v>6</v>
      </c>
      <c r="B7" s="2" t="s">
        <v>12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35</v>
      </c>
      <c r="H7" s="3" t="s">
        <v>18</v>
      </c>
      <c r="I7" s="3"/>
      <c r="J7" s="3"/>
      <c r="K7" s="3"/>
      <c r="L7" s="3"/>
    </row>
    <row r="8" customFormat="false" ht="43.25" hidden="false" customHeight="false" outlineLevel="0" collapsed="false">
      <c r="A8" s="2" t="n">
        <v>7</v>
      </c>
      <c r="B8" s="2" t="s">
        <v>12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35</v>
      </c>
      <c r="H8" s="3" t="s">
        <v>18</v>
      </c>
      <c r="I8" s="3"/>
      <c r="J8" s="3"/>
      <c r="K8" s="3"/>
      <c r="L8" s="3"/>
    </row>
    <row r="9" customFormat="false" ht="43.25" hidden="false" customHeight="false" outlineLevel="0" collapsed="false">
      <c r="A9" s="2" t="n">
        <v>8</v>
      </c>
      <c r="B9" s="2" t="s">
        <v>12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35</v>
      </c>
      <c r="H9" s="3" t="s">
        <v>18</v>
      </c>
      <c r="I9" s="3"/>
      <c r="J9" s="3"/>
      <c r="K9" s="3"/>
      <c r="L9" s="3"/>
    </row>
    <row r="10" customFormat="false" ht="22.35" hidden="false" customHeight="false" outlineLevel="0" collapsed="false">
      <c r="A10" s="2" t="n">
        <v>9</v>
      </c>
      <c r="B10" s="2" t="s">
        <v>12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3" t="s">
        <v>18</v>
      </c>
      <c r="I10" s="3"/>
      <c r="J10" s="3"/>
      <c r="K10" s="3"/>
      <c r="L10" s="3"/>
    </row>
    <row r="11" customFormat="false" ht="22.35" hidden="false" customHeight="false" outlineLevel="0" collapsed="false">
      <c r="A11" s="2" t="n">
        <v>10</v>
      </c>
      <c r="B11" s="2" t="s">
        <v>12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57</v>
      </c>
      <c r="H11" s="3" t="s">
        <v>18</v>
      </c>
      <c r="I11" s="3"/>
      <c r="J11" s="3"/>
      <c r="K11" s="3"/>
      <c r="L11" s="3"/>
    </row>
    <row r="12" customFormat="false" ht="32.8" hidden="false" customHeight="false" outlineLevel="0" collapsed="false">
      <c r="A12" s="2" t="n">
        <v>11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63</v>
      </c>
      <c r="H12" s="3" t="s">
        <v>18</v>
      </c>
      <c r="I12" s="3"/>
      <c r="J12" s="3"/>
      <c r="K12" s="3"/>
      <c r="L12" s="3"/>
    </row>
    <row r="13" customFormat="false" ht="32.8" hidden="false" customHeight="false" outlineLevel="0" collapsed="false">
      <c r="A13" s="2" t="n">
        <v>12</v>
      </c>
      <c r="B13" s="2" t="s">
        <v>58</v>
      </c>
      <c r="C13" s="2" t="s">
        <v>64</v>
      </c>
      <c r="D13" s="2" t="s">
        <v>65</v>
      </c>
      <c r="E13" s="2" t="s">
        <v>66</v>
      </c>
      <c r="F13" s="2" t="s">
        <v>67</v>
      </c>
      <c r="G13" s="2" t="s">
        <v>68</v>
      </c>
      <c r="H13" s="3" t="s">
        <v>18</v>
      </c>
      <c r="I13" s="3"/>
      <c r="J13" s="3"/>
      <c r="K13" s="3"/>
      <c r="L13" s="3"/>
    </row>
    <row r="14" customFormat="false" ht="32.8" hidden="false" customHeight="false" outlineLevel="0" collapsed="false">
      <c r="A14" s="2" t="n">
        <v>13</v>
      </c>
      <c r="B14" s="2" t="s">
        <v>58</v>
      </c>
      <c r="C14" s="2" t="s">
        <v>69</v>
      </c>
      <c r="D14" s="2" t="s">
        <v>70</v>
      </c>
      <c r="E14" s="2" t="s">
        <v>66</v>
      </c>
      <c r="F14" s="2" t="s">
        <v>71</v>
      </c>
      <c r="G14" s="2" t="s">
        <v>68</v>
      </c>
      <c r="H14" s="3" t="s">
        <v>18</v>
      </c>
      <c r="I14" s="3"/>
      <c r="J14" s="3"/>
      <c r="K14" s="3"/>
      <c r="L14" s="3"/>
    </row>
    <row r="15" customFormat="false" ht="32.8" hidden="false" customHeight="false" outlineLevel="0" collapsed="false">
      <c r="A15" s="2" t="n">
        <v>14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3" t="s">
        <v>18</v>
      </c>
      <c r="I15" s="3"/>
      <c r="J15" s="3"/>
      <c r="K15" s="3"/>
      <c r="L15" s="3"/>
    </row>
    <row r="16" customFormat="false" ht="22.35" hidden="false" customHeight="false" outlineLevel="0" collapsed="false">
      <c r="A16" s="2" t="n">
        <v>15</v>
      </c>
      <c r="B16" s="2" t="s">
        <v>72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77</v>
      </c>
      <c r="H16" s="3" t="s">
        <v>18</v>
      </c>
      <c r="I16" s="3"/>
      <c r="J16" s="3"/>
      <c r="K16" s="3"/>
      <c r="L16" s="3"/>
    </row>
    <row r="17" customFormat="false" ht="43.25" hidden="false" customHeight="false" outlineLevel="0" collapsed="false">
      <c r="A17" s="2" t="n">
        <v>16</v>
      </c>
      <c r="B17" s="2" t="s">
        <v>72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77</v>
      </c>
      <c r="H17" s="3" t="s">
        <v>18</v>
      </c>
      <c r="I17" s="3"/>
      <c r="J17" s="3"/>
      <c r="K17" s="3"/>
      <c r="L17" s="3"/>
    </row>
    <row r="18" customFormat="false" ht="32.8" hidden="false" customHeight="false" outlineLevel="0" collapsed="false">
      <c r="A18" s="2" t="n">
        <v>17</v>
      </c>
      <c r="B18" s="2" t="s">
        <v>72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77</v>
      </c>
      <c r="H18" s="3" t="s">
        <v>18</v>
      </c>
      <c r="I18" s="3"/>
      <c r="J18" s="3"/>
      <c r="K18" s="3"/>
      <c r="L18" s="3"/>
    </row>
    <row r="19" customFormat="false" ht="32.8" hidden="false" customHeight="false" outlineLevel="0" collapsed="false">
      <c r="A19" s="2" t="n">
        <v>18</v>
      </c>
      <c r="B19" s="2" t="s">
        <v>72</v>
      </c>
      <c r="C19" s="2" t="s">
        <v>90</v>
      </c>
      <c r="D19" s="2" t="s">
        <v>91</v>
      </c>
      <c r="E19" s="2" t="s">
        <v>92</v>
      </c>
      <c r="F19" s="2" t="s">
        <v>93</v>
      </c>
      <c r="G19" s="2" t="s">
        <v>94</v>
      </c>
      <c r="H19" s="3" t="s">
        <v>18</v>
      </c>
      <c r="I19" s="3"/>
      <c r="J19" s="3"/>
      <c r="K19" s="3"/>
      <c r="L19" s="3"/>
    </row>
    <row r="20" customFormat="false" ht="43.25" hidden="false" customHeight="false" outlineLevel="0" collapsed="false">
      <c r="A20" s="2" t="n">
        <v>19</v>
      </c>
      <c r="B20" s="2" t="s">
        <v>95</v>
      </c>
      <c r="C20" s="2" t="s">
        <v>96</v>
      </c>
      <c r="D20" s="2" t="s">
        <v>97</v>
      </c>
      <c r="E20" s="2" t="s">
        <v>98</v>
      </c>
      <c r="F20" s="2" t="s">
        <v>99</v>
      </c>
      <c r="G20" s="2" t="s">
        <v>100</v>
      </c>
      <c r="H20" s="3" t="s">
        <v>18</v>
      </c>
      <c r="I20" s="3"/>
      <c r="J20" s="3"/>
      <c r="K20" s="3"/>
      <c r="L20" s="3"/>
    </row>
    <row r="21" customFormat="false" ht="43.25" hidden="false" customHeight="false" outlineLevel="0" collapsed="false">
      <c r="A21" s="2" t="n">
        <v>20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s">
        <v>105</v>
      </c>
      <c r="G21" s="2" t="s">
        <v>106</v>
      </c>
      <c r="H21" s="3" t="s">
        <v>18</v>
      </c>
      <c r="I21" s="3"/>
      <c r="J21" s="3"/>
      <c r="K21" s="3"/>
      <c r="L21" s="3"/>
    </row>
    <row r="22" customFormat="false" ht="22.35" hidden="false" customHeight="false" outlineLevel="0" collapsed="false">
      <c r="A22" s="2" t="n">
        <v>21</v>
      </c>
      <c r="B22" s="2" t="s">
        <v>101</v>
      </c>
      <c r="C22" s="2" t="s">
        <v>107</v>
      </c>
      <c r="D22" s="2" t="s">
        <v>108</v>
      </c>
      <c r="E22" s="2" t="s">
        <v>109</v>
      </c>
      <c r="F22" s="2" t="s">
        <v>110</v>
      </c>
      <c r="G22" s="2" t="s">
        <v>111</v>
      </c>
      <c r="H22" s="3" t="s">
        <v>18</v>
      </c>
      <c r="I22" s="3"/>
      <c r="J22" s="3"/>
      <c r="K22" s="3"/>
      <c r="L22" s="3"/>
    </row>
    <row r="23" customFormat="false" ht="22.35" hidden="false" customHeight="false" outlineLevel="0" collapsed="false">
      <c r="A23" s="2" t="n">
        <v>22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s">
        <v>116</v>
      </c>
      <c r="G23" s="2" t="s">
        <v>117</v>
      </c>
      <c r="H23" s="3" t="s">
        <v>18</v>
      </c>
      <c r="I23" s="3"/>
      <c r="J23" s="3"/>
      <c r="K23" s="3"/>
      <c r="L23" s="3"/>
    </row>
    <row r="24" customFormat="false" ht="22.35" hidden="false" customHeight="false" outlineLevel="0" collapsed="false">
      <c r="A24" s="2" t="n">
        <v>23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123</v>
      </c>
      <c r="H24" s="3" t="s">
        <v>18</v>
      </c>
      <c r="I24" s="3"/>
      <c r="J24" s="3"/>
      <c r="K24" s="3"/>
      <c r="L24" s="3"/>
    </row>
    <row r="25" customFormat="false" ht="32.8" hidden="false" customHeight="false" outlineLevel="0" collapsed="false">
      <c r="A25" s="2" t="n">
        <v>24</v>
      </c>
      <c r="B25" s="2" t="s">
        <v>118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68</v>
      </c>
      <c r="H25" s="3" t="s">
        <v>18</v>
      </c>
      <c r="I25" s="3"/>
      <c r="J25" s="3"/>
      <c r="K25" s="3"/>
      <c r="L25" s="3"/>
    </row>
    <row r="26" customFormat="false" ht="22.35" hidden="false" customHeight="false" outlineLevel="0" collapsed="false">
      <c r="A26" s="2" t="n">
        <v>25</v>
      </c>
      <c r="B26" s="2" t="s">
        <v>118</v>
      </c>
      <c r="C26" s="2" t="s">
        <v>128</v>
      </c>
      <c r="D26" s="2" t="s">
        <v>129</v>
      </c>
      <c r="E26" s="2" t="s">
        <v>130</v>
      </c>
      <c r="F26" s="2" t="s">
        <v>131</v>
      </c>
      <c r="G26" s="2" t="s">
        <v>132</v>
      </c>
      <c r="H26" s="3" t="s">
        <v>18</v>
      </c>
      <c r="I26" s="3"/>
      <c r="J26" s="3"/>
      <c r="K26" s="3"/>
      <c r="L26" s="3"/>
    </row>
    <row r="27" customFormat="false" ht="22.35" hidden="false" customHeight="false" outlineLevel="0" collapsed="false">
      <c r="A27" s="2" t="n">
        <v>26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137</v>
      </c>
      <c r="G27" s="2" t="s">
        <v>52</v>
      </c>
      <c r="H27" s="3" t="s">
        <v>18</v>
      </c>
      <c r="I27" s="3"/>
      <c r="J27" s="3"/>
      <c r="K27" s="3"/>
      <c r="L27" s="3"/>
    </row>
    <row r="28" customFormat="false" ht="22.35" hidden="false" customHeight="false" outlineLevel="0" collapsed="false">
      <c r="A28" s="2" t="n">
        <v>27</v>
      </c>
      <c r="B28" s="2" t="s">
        <v>133</v>
      </c>
      <c r="C28" s="2" t="s">
        <v>138</v>
      </c>
      <c r="D28" s="2" t="s">
        <v>139</v>
      </c>
      <c r="E28" s="2" t="s">
        <v>140</v>
      </c>
      <c r="F28" s="2" t="s">
        <v>141</v>
      </c>
      <c r="G28" s="2" t="s">
        <v>142</v>
      </c>
      <c r="H28" s="3" t="s">
        <v>18</v>
      </c>
      <c r="I28" s="3"/>
      <c r="J28" s="3"/>
      <c r="K28" s="3"/>
      <c r="L28" s="3"/>
    </row>
    <row r="29" customFormat="false" ht="22.35" hidden="false" customHeight="false" outlineLevel="0" collapsed="false">
      <c r="A29" s="2" t="n">
        <v>28</v>
      </c>
      <c r="B29" s="2" t="s">
        <v>133</v>
      </c>
      <c r="C29" s="2" t="s">
        <v>143</v>
      </c>
      <c r="D29" s="2" t="s">
        <v>144</v>
      </c>
      <c r="E29" s="2" t="s">
        <v>126</v>
      </c>
      <c r="F29" s="2" t="s">
        <v>145</v>
      </c>
      <c r="G29" s="2" t="s">
        <v>146</v>
      </c>
      <c r="H29" s="3" t="s">
        <v>18</v>
      </c>
      <c r="I29" s="3"/>
      <c r="J29" s="3"/>
      <c r="K29" s="3"/>
      <c r="L29" s="3"/>
    </row>
    <row r="30" customFormat="false" ht="22.35" hidden="false" customHeight="false" outlineLevel="0" collapsed="false">
      <c r="A30" s="2" t="n">
        <v>29</v>
      </c>
      <c r="B30" s="2" t="s">
        <v>133</v>
      </c>
      <c r="C30" s="2" t="s">
        <v>147</v>
      </c>
      <c r="D30" s="2" t="s">
        <v>148</v>
      </c>
      <c r="E30" s="2" t="s">
        <v>126</v>
      </c>
      <c r="F30" s="2" t="s">
        <v>149</v>
      </c>
      <c r="G30" s="2" t="s">
        <v>150</v>
      </c>
      <c r="H30" s="3" t="s">
        <v>18</v>
      </c>
      <c r="I30" s="3"/>
      <c r="J30" s="3"/>
      <c r="K30" s="3"/>
      <c r="L30" s="3"/>
    </row>
    <row r="31" customFormat="false" ht="22.35" hidden="false" customHeight="false" outlineLevel="0" collapsed="false">
      <c r="A31" s="2" t="n">
        <v>30</v>
      </c>
      <c r="B31" s="2" t="s">
        <v>133</v>
      </c>
      <c r="C31" s="2" t="s">
        <v>151</v>
      </c>
      <c r="D31" s="2" t="s">
        <v>152</v>
      </c>
      <c r="E31" s="2" t="s">
        <v>153</v>
      </c>
      <c r="F31" s="2" t="s">
        <v>154</v>
      </c>
      <c r="G31" s="2" t="s">
        <v>117</v>
      </c>
      <c r="H31" s="3" t="s">
        <v>18</v>
      </c>
      <c r="I31" s="3"/>
      <c r="J31" s="3"/>
      <c r="K31" s="3"/>
      <c r="L31" s="3"/>
    </row>
    <row r="32" customFormat="false" ht="22.35" hidden="false" customHeight="false" outlineLevel="0" collapsed="false">
      <c r="A32" s="2" t="n">
        <v>31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s">
        <v>159</v>
      </c>
      <c r="G32" s="2" t="s">
        <v>160</v>
      </c>
      <c r="H32" s="3" t="s">
        <v>18</v>
      </c>
      <c r="I32" s="3"/>
      <c r="J32" s="3"/>
      <c r="K32" s="3"/>
      <c r="L32" s="3"/>
    </row>
    <row r="33" customFormat="false" ht="32.8" hidden="false" customHeight="false" outlineLevel="0" collapsed="false">
      <c r="A33" s="2" t="n">
        <v>32</v>
      </c>
      <c r="B33" s="2" t="s">
        <v>155</v>
      </c>
      <c r="C33" s="2" t="s">
        <v>161</v>
      </c>
      <c r="D33" s="2" t="s">
        <v>162</v>
      </c>
      <c r="E33" s="2" t="s">
        <v>163</v>
      </c>
      <c r="F33" s="2" t="s">
        <v>164</v>
      </c>
      <c r="G33" s="2" t="s">
        <v>160</v>
      </c>
      <c r="H33" s="3" t="s">
        <v>18</v>
      </c>
      <c r="I33" s="3"/>
      <c r="J33" s="3"/>
      <c r="K33" s="3"/>
      <c r="L33" s="3"/>
    </row>
    <row r="34" customFormat="false" ht="32.8" hidden="false" customHeight="false" outlineLevel="0" collapsed="false">
      <c r="A34" s="2" t="n">
        <v>33</v>
      </c>
      <c r="B34" s="2" t="s">
        <v>155</v>
      </c>
      <c r="C34" s="2" t="s">
        <v>165</v>
      </c>
      <c r="D34" s="2" t="s">
        <v>166</v>
      </c>
      <c r="E34" s="2" t="s">
        <v>167</v>
      </c>
      <c r="F34" s="2" t="s">
        <v>168</v>
      </c>
      <c r="G34" s="2" t="s">
        <v>169</v>
      </c>
      <c r="H34" s="3" t="s">
        <v>18</v>
      </c>
      <c r="I34" s="3"/>
      <c r="J34" s="3"/>
      <c r="K34" s="3"/>
      <c r="L34" s="3"/>
    </row>
    <row r="35" customFormat="false" ht="22.35" hidden="false" customHeight="false" outlineLevel="0" collapsed="false">
      <c r="A35" s="2" t="n">
        <v>34</v>
      </c>
      <c r="B35" s="2" t="s">
        <v>170</v>
      </c>
      <c r="C35" s="2" t="s">
        <v>171</v>
      </c>
      <c r="D35" s="2" t="s">
        <v>172</v>
      </c>
      <c r="E35" s="2" t="s">
        <v>126</v>
      </c>
      <c r="F35" s="2" t="s">
        <v>173</v>
      </c>
      <c r="G35" s="2" t="s">
        <v>174</v>
      </c>
      <c r="H35" s="3" t="s">
        <v>18</v>
      </c>
      <c r="I35" s="3"/>
      <c r="J35" s="3"/>
      <c r="K35" s="3"/>
      <c r="L35" s="3"/>
    </row>
    <row r="36" customFormat="false" ht="22.35" hidden="false" customHeight="false" outlineLevel="0" collapsed="false">
      <c r="A36" s="2" t="n">
        <v>35</v>
      </c>
      <c r="B36" s="2" t="s">
        <v>170</v>
      </c>
      <c r="C36" s="2" t="s">
        <v>175</v>
      </c>
      <c r="D36" s="2" t="s">
        <v>176</v>
      </c>
      <c r="E36" s="2" t="s">
        <v>126</v>
      </c>
      <c r="F36" s="2" t="s">
        <v>177</v>
      </c>
      <c r="G36" s="2" t="s">
        <v>178</v>
      </c>
      <c r="H36" s="3" t="s">
        <v>18</v>
      </c>
      <c r="I36" s="3"/>
      <c r="J36" s="3"/>
      <c r="K36" s="3"/>
      <c r="L36" s="3"/>
    </row>
    <row r="37" customFormat="false" ht="22.35" hidden="false" customHeight="false" outlineLevel="0" collapsed="false">
      <c r="A37" s="2" t="n">
        <v>36</v>
      </c>
      <c r="B37" s="2" t="s">
        <v>170</v>
      </c>
      <c r="C37" s="2" t="s">
        <v>179</v>
      </c>
      <c r="D37" s="2" t="s">
        <v>180</v>
      </c>
      <c r="E37" s="2" t="s">
        <v>181</v>
      </c>
      <c r="F37" s="2" t="s">
        <v>182</v>
      </c>
      <c r="G37" s="2" t="s">
        <v>117</v>
      </c>
      <c r="H37" s="3" t="s">
        <v>18</v>
      </c>
      <c r="I37" s="3"/>
      <c r="J37" s="3"/>
      <c r="K37" s="3"/>
      <c r="L37" s="3"/>
    </row>
    <row r="38" customFormat="false" ht="22.35" hidden="false" customHeight="false" outlineLevel="0" collapsed="false">
      <c r="A38" s="2" t="n">
        <v>37</v>
      </c>
      <c r="B38" s="2" t="s">
        <v>170</v>
      </c>
      <c r="C38" s="2" t="s">
        <v>183</v>
      </c>
      <c r="D38" s="2" t="s">
        <v>184</v>
      </c>
      <c r="E38" s="2" t="s">
        <v>185</v>
      </c>
      <c r="F38" s="2" t="s">
        <v>186</v>
      </c>
      <c r="G38" s="2" t="s">
        <v>187</v>
      </c>
      <c r="H38" s="3" t="s">
        <v>18</v>
      </c>
      <c r="I38" s="3"/>
      <c r="J38" s="3"/>
      <c r="K38" s="3"/>
      <c r="L38" s="3"/>
    </row>
    <row r="39" customFormat="false" ht="22.35" hidden="false" customHeight="false" outlineLevel="0" collapsed="false">
      <c r="A39" s="2" t="n">
        <v>38</v>
      </c>
      <c r="B39" s="2" t="s">
        <v>170</v>
      </c>
      <c r="C39" s="2" t="s">
        <v>188</v>
      </c>
      <c r="D39" s="2" t="s">
        <v>189</v>
      </c>
      <c r="E39" s="2" t="s">
        <v>190</v>
      </c>
      <c r="F39" s="2" t="s">
        <v>191</v>
      </c>
      <c r="G39" s="2" t="s">
        <v>192</v>
      </c>
      <c r="H39" s="3" t="s">
        <v>18</v>
      </c>
      <c r="I39" s="3"/>
      <c r="J39" s="3"/>
      <c r="K39" s="3"/>
      <c r="L39" s="3"/>
    </row>
    <row r="40" customFormat="false" ht="22.35" hidden="false" customHeight="false" outlineLevel="0" collapsed="false">
      <c r="A40" s="2" t="n">
        <v>39</v>
      </c>
      <c r="B40" s="2" t="s">
        <v>170</v>
      </c>
      <c r="C40" s="2" t="s">
        <v>193</v>
      </c>
      <c r="D40" s="2" t="s">
        <v>194</v>
      </c>
      <c r="E40" s="2" t="s">
        <v>195</v>
      </c>
      <c r="F40" s="2" t="s">
        <v>196</v>
      </c>
      <c r="G40" s="2" t="s">
        <v>197</v>
      </c>
      <c r="H40" s="3" t="s">
        <v>18</v>
      </c>
      <c r="I40" s="3"/>
      <c r="J40" s="3"/>
      <c r="K40" s="3"/>
      <c r="L40" s="3"/>
    </row>
    <row r="41" customFormat="false" ht="22.35" hidden="false" customHeight="false" outlineLevel="0" collapsed="false">
      <c r="A41" s="2" t="n">
        <v>40</v>
      </c>
      <c r="B41" s="2" t="s">
        <v>198</v>
      </c>
      <c r="C41" s="2" t="s">
        <v>199</v>
      </c>
      <c r="D41" s="2" t="s">
        <v>200</v>
      </c>
      <c r="E41" s="2" t="s">
        <v>201</v>
      </c>
      <c r="F41" s="2" t="s">
        <v>202</v>
      </c>
      <c r="G41" s="2" t="s">
        <v>94</v>
      </c>
      <c r="H41" s="3" t="s">
        <v>18</v>
      </c>
      <c r="I41" s="3"/>
      <c r="J41" s="3"/>
      <c r="K41" s="3"/>
      <c r="L41" s="3"/>
    </row>
    <row r="42" customFormat="false" ht="32.8" hidden="false" customHeight="false" outlineLevel="0" collapsed="false">
      <c r="A42" s="2" t="n">
        <v>41</v>
      </c>
      <c r="B42" s="2" t="s">
        <v>198</v>
      </c>
      <c r="C42" s="2" t="s">
        <v>203</v>
      </c>
      <c r="D42" s="2" t="s">
        <v>204</v>
      </c>
      <c r="E42" s="2" t="s">
        <v>205</v>
      </c>
      <c r="F42" s="2" t="s">
        <v>206</v>
      </c>
      <c r="G42" s="2" t="s">
        <v>207</v>
      </c>
      <c r="H42" s="3" t="s">
        <v>18</v>
      </c>
      <c r="I42" s="3"/>
      <c r="J42" s="3"/>
      <c r="K42" s="3"/>
      <c r="L42" s="3"/>
    </row>
    <row r="43" customFormat="false" ht="22.35" hidden="false" customHeight="false" outlineLevel="0" collapsed="false">
      <c r="A43" s="2" t="n">
        <v>42</v>
      </c>
      <c r="B43" s="2" t="s">
        <v>198</v>
      </c>
      <c r="C43" s="2" t="s">
        <v>208</v>
      </c>
      <c r="D43" s="2" t="s">
        <v>209</v>
      </c>
      <c r="E43" s="2" t="s">
        <v>210</v>
      </c>
      <c r="F43" s="2" t="s">
        <v>211</v>
      </c>
      <c r="G43" s="2" t="s">
        <v>212</v>
      </c>
      <c r="H43" s="3" t="s">
        <v>18</v>
      </c>
      <c r="I43" s="3"/>
      <c r="J43" s="3"/>
      <c r="K43" s="3"/>
      <c r="L43" s="3"/>
    </row>
    <row r="44" customFormat="false" ht="22.35" hidden="false" customHeight="false" outlineLevel="0" collapsed="false">
      <c r="A44" s="2" t="n">
        <v>43</v>
      </c>
      <c r="B44" s="2" t="s">
        <v>213</v>
      </c>
      <c r="C44" s="2" t="s">
        <v>214</v>
      </c>
      <c r="D44" s="2" t="s">
        <v>215</v>
      </c>
      <c r="E44" s="2" t="s">
        <v>216</v>
      </c>
      <c r="F44" s="2" t="s">
        <v>217</v>
      </c>
      <c r="G44" s="2" t="s">
        <v>68</v>
      </c>
      <c r="H44" s="3" t="s">
        <v>18</v>
      </c>
      <c r="I44" s="3"/>
      <c r="J44" s="3"/>
      <c r="K44" s="3"/>
      <c r="L44" s="3"/>
    </row>
    <row r="45" customFormat="false" ht="22.35" hidden="false" customHeight="false" outlineLevel="0" collapsed="false">
      <c r="A45" s="2" t="n">
        <v>44</v>
      </c>
      <c r="B45" s="2" t="s">
        <v>218</v>
      </c>
      <c r="C45" s="2" t="s">
        <v>219</v>
      </c>
      <c r="D45" s="2" t="s">
        <v>220</v>
      </c>
      <c r="E45" s="2" t="s">
        <v>221</v>
      </c>
      <c r="F45" s="2" t="s">
        <v>222</v>
      </c>
      <c r="G45" s="2" t="s">
        <v>223</v>
      </c>
      <c r="H45" s="3" t="s">
        <v>18</v>
      </c>
      <c r="I45" s="3"/>
      <c r="J45" s="3"/>
      <c r="K45" s="3"/>
      <c r="L45" s="3"/>
    </row>
    <row r="46" customFormat="false" ht="22.35" hidden="false" customHeight="false" outlineLevel="0" collapsed="false">
      <c r="A46" s="2" t="n">
        <v>45</v>
      </c>
      <c r="B46" s="2" t="s">
        <v>218</v>
      </c>
      <c r="C46" s="2" t="s">
        <v>224</v>
      </c>
      <c r="D46" s="2" t="s">
        <v>225</v>
      </c>
      <c r="E46" s="2" t="s">
        <v>226</v>
      </c>
      <c r="F46" s="2" t="s">
        <v>227</v>
      </c>
      <c r="G46" s="2" t="s">
        <v>142</v>
      </c>
      <c r="H46" s="3" t="s">
        <v>18</v>
      </c>
      <c r="I46" s="3"/>
      <c r="J46" s="3"/>
      <c r="K46" s="3"/>
      <c r="L46" s="3"/>
    </row>
    <row r="47" customFormat="false" ht="22.35" hidden="false" customHeight="false" outlineLevel="0" collapsed="false">
      <c r="A47" s="2" t="n">
        <v>46</v>
      </c>
      <c r="B47" s="2" t="s">
        <v>218</v>
      </c>
      <c r="C47" s="2" t="s">
        <v>228</v>
      </c>
      <c r="D47" s="2" t="s">
        <v>229</v>
      </c>
      <c r="E47" s="2" t="s">
        <v>221</v>
      </c>
      <c r="F47" s="2" t="s">
        <v>230</v>
      </c>
      <c r="G47" s="2" t="s">
        <v>218</v>
      </c>
      <c r="H47" s="3" t="s">
        <v>18</v>
      </c>
      <c r="I47" s="3"/>
      <c r="J47" s="3"/>
      <c r="K47" s="3"/>
      <c r="L47" s="3"/>
    </row>
    <row r="48" customFormat="false" ht="22.35" hidden="false" customHeight="false" outlineLevel="0" collapsed="false">
      <c r="A48" s="2" t="n">
        <v>47</v>
      </c>
      <c r="B48" s="2" t="s">
        <v>231</v>
      </c>
      <c r="C48" s="2" t="s">
        <v>232</v>
      </c>
      <c r="D48" s="2" t="s">
        <v>233</v>
      </c>
      <c r="E48" s="2" t="s">
        <v>234</v>
      </c>
      <c r="F48" s="2" t="s">
        <v>235</v>
      </c>
      <c r="G48" s="2" t="s">
        <v>236</v>
      </c>
      <c r="H48" s="3" t="s">
        <v>18</v>
      </c>
      <c r="I48" s="3"/>
      <c r="J48" s="3"/>
      <c r="K48" s="3"/>
      <c r="L48" s="3"/>
    </row>
    <row r="49" customFormat="false" ht="22.35" hidden="false" customHeight="false" outlineLevel="0" collapsed="false">
      <c r="A49" s="2" t="n">
        <v>48</v>
      </c>
      <c r="B49" s="2" t="s">
        <v>231</v>
      </c>
      <c r="C49" s="2" t="s">
        <v>237</v>
      </c>
      <c r="D49" s="2" t="s">
        <v>238</v>
      </c>
      <c r="E49" s="2" t="s">
        <v>239</v>
      </c>
      <c r="F49" s="2" t="s">
        <v>240</v>
      </c>
      <c r="G49" s="2" t="s">
        <v>192</v>
      </c>
      <c r="H49" s="3" t="s">
        <v>18</v>
      </c>
      <c r="I49" s="3"/>
      <c r="J49" s="3"/>
      <c r="K49" s="3"/>
      <c r="L49" s="3"/>
    </row>
    <row r="50" customFormat="false" ht="22.35" hidden="false" customHeight="false" outlineLevel="0" collapsed="false">
      <c r="A50" s="2" t="n">
        <v>49</v>
      </c>
      <c r="B50" s="2" t="s">
        <v>231</v>
      </c>
      <c r="C50" s="2" t="s">
        <v>241</v>
      </c>
      <c r="D50" s="2" t="s">
        <v>242</v>
      </c>
      <c r="E50" s="2" t="s">
        <v>243</v>
      </c>
      <c r="F50" s="2" t="s">
        <v>244</v>
      </c>
      <c r="G50" s="2" t="s">
        <v>245</v>
      </c>
      <c r="H50" s="3" t="s">
        <v>18</v>
      </c>
      <c r="I50" s="3"/>
      <c r="J50" s="3"/>
      <c r="K50" s="3"/>
      <c r="L50" s="3"/>
    </row>
    <row r="51" customFormat="false" ht="22.35" hidden="false" customHeight="false" outlineLevel="0" collapsed="false">
      <c r="A51" s="2" t="n">
        <v>50</v>
      </c>
      <c r="B51" s="2" t="s">
        <v>231</v>
      </c>
      <c r="C51" s="2" t="s">
        <v>246</v>
      </c>
      <c r="D51" s="2" t="s">
        <v>247</v>
      </c>
      <c r="E51" s="2" t="s">
        <v>248</v>
      </c>
      <c r="F51" s="2" t="s">
        <v>249</v>
      </c>
      <c r="G51" s="2" t="s">
        <v>250</v>
      </c>
      <c r="H51" s="3" t="s">
        <v>18</v>
      </c>
      <c r="I51" s="3"/>
      <c r="J51" s="3"/>
      <c r="K51" s="3"/>
      <c r="L51" s="3"/>
    </row>
  </sheetData>
  <autoFilter ref="A1:L51"/>
  <dataValidations count="1">
    <dataValidation allowBlank="true" errorStyle="stop" operator="between" showDropDown="false" showErrorMessage="false" showInputMessage="false" sqref="H2:H51 J2:J51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4" t="s">
        <v>251</v>
      </c>
    </row>
    <row r="3" customFormat="false" ht="15" hidden="false" customHeight="false" outlineLevel="0" collapsed="false">
      <c r="A3" s="5" t="s">
        <v>1</v>
      </c>
      <c r="B3" s="5" t="s">
        <v>252</v>
      </c>
      <c r="C3" s="5" t="s">
        <v>253</v>
      </c>
      <c r="D3" s="5" t="s">
        <v>254</v>
      </c>
      <c r="E3" s="5" t="s">
        <v>255</v>
      </c>
    </row>
    <row r="4" customFormat="false" ht="15" hidden="false" customHeight="false" outlineLevel="0" collapsed="false">
      <c r="A4" s="6" t="s">
        <v>12</v>
      </c>
      <c r="B4" s="6" t="n">
        <f aca="false">COUNTIF('Pruebas de aceptación'!$B$2:$B$51,A4)</f>
        <v>10</v>
      </c>
      <c r="C4" s="6" t="n">
        <f aca="false">COUNTIFS('Pruebas de aceptación'!$B$2:$B$51,A4,'Pruebas de aceptación'!$H$2:$H$51,"Sí")</f>
        <v>0</v>
      </c>
      <c r="D4" s="6" t="n">
        <f aca="false">COUNTIFS('Pruebas de aceptación'!$B$2:$B$51,A4,'Pruebas de aceptación'!$J$2:$J$51,"Sí")</f>
        <v>0</v>
      </c>
      <c r="E4" s="7" t="n">
        <f aca="false">IF(B4=0,0,D4/B4)</f>
        <v>0</v>
      </c>
    </row>
    <row r="5" customFormat="false" ht="15" hidden="false" customHeight="false" outlineLevel="0" collapsed="false">
      <c r="A5" s="6" t="s">
        <v>58</v>
      </c>
      <c r="B5" s="6" t="n">
        <f aca="false">COUNTIF('Pruebas de aceptación'!$B$2:$B$51,A5)</f>
        <v>3</v>
      </c>
      <c r="C5" s="6" t="n">
        <f aca="false">COUNTIFS('Pruebas de aceptación'!$B$2:$B$51,A5,'Pruebas de aceptación'!$H$2:$H$51,"Sí")</f>
        <v>0</v>
      </c>
      <c r="D5" s="6" t="n">
        <f aca="false">COUNTIFS('Pruebas de aceptación'!$B$2:$B$51,A5,'Pruebas de aceptación'!$J$2:$J$51,"Sí")</f>
        <v>0</v>
      </c>
      <c r="E5" s="7" t="n">
        <f aca="false">IF(B5=0,0,D5/B5)</f>
        <v>0</v>
      </c>
    </row>
    <row r="6" customFormat="false" ht="15" hidden="false" customHeight="false" outlineLevel="0" collapsed="false">
      <c r="A6" s="6" t="s">
        <v>72</v>
      </c>
      <c r="B6" s="6" t="n">
        <f aca="false">COUNTIF('Pruebas de aceptación'!$B$2:$B$51,A6)</f>
        <v>5</v>
      </c>
      <c r="C6" s="6" t="n">
        <f aca="false">COUNTIFS('Pruebas de aceptación'!$B$2:$B$51,A6,'Pruebas de aceptación'!$H$2:$H$51,"Sí")</f>
        <v>0</v>
      </c>
      <c r="D6" s="6" t="n">
        <f aca="false">COUNTIFS('Pruebas de aceptación'!$B$2:$B$51,A6,'Pruebas de aceptación'!$J$2:$J$51,"Sí")</f>
        <v>0</v>
      </c>
      <c r="E6" s="7" t="n">
        <f aca="false">IF(B6=0,0,D6/B6)</f>
        <v>0</v>
      </c>
    </row>
    <row r="7" customFormat="false" ht="15" hidden="false" customHeight="false" outlineLevel="0" collapsed="false">
      <c r="A7" s="6" t="s">
        <v>95</v>
      </c>
      <c r="B7" s="6" t="n">
        <f aca="false">COUNTIF('Pruebas de aceptación'!$B$2:$B$51,A7)</f>
        <v>1</v>
      </c>
      <c r="C7" s="6" t="n">
        <f aca="false">COUNTIFS('Pruebas de aceptación'!$B$2:$B$51,A7,'Pruebas de aceptación'!$H$2:$H$51,"Sí")</f>
        <v>0</v>
      </c>
      <c r="D7" s="6" t="n">
        <f aca="false">COUNTIFS('Pruebas de aceptación'!$B$2:$B$51,A7,'Pruebas de aceptación'!$J$2:$J$51,"Sí")</f>
        <v>0</v>
      </c>
      <c r="E7" s="7" t="n">
        <f aca="false">IF(B7=0,0,D7/B7)</f>
        <v>0</v>
      </c>
    </row>
    <row r="8" customFormat="false" ht="15" hidden="false" customHeight="false" outlineLevel="0" collapsed="false">
      <c r="A8" s="6" t="s">
        <v>101</v>
      </c>
      <c r="B8" s="6" t="n">
        <f aca="false">COUNTIF('Pruebas de aceptación'!$B$2:$B$51,A8)</f>
        <v>2</v>
      </c>
      <c r="C8" s="6" t="n">
        <f aca="false">COUNTIFS('Pruebas de aceptación'!$B$2:$B$51,A8,'Pruebas de aceptación'!$H$2:$H$51,"Sí")</f>
        <v>0</v>
      </c>
      <c r="D8" s="6" t="n">
        <f aca="false">COUNTIFS('Pruebas de aceptación'!$B$2:$B$51,A8,'Pruebas de aceptación'!$J$2:$J$51,"Sí")</f>
        <v>0</v>
      </c>
      <c r="E8" s="7" t="n">
        <f aca="false">IF(B8=0,0,D8/B8)</f>
        <v>0</v>
      </c>
    </row>
    <row r="9" customFormat="false" ht="15" hidden="false" customHeight="false" outlineLevel="0" collapsed="false">
      <c r="A9" s="6" t="s">
        <v>112</v>
      </c>
      <c r="B9" s="6" t="n">
        <f aca="false">COUNTIF('Pruebas de aceptación'!$B$2:$B$51,A9)</f>
        <v>1</v>
      </c>
      <c r="C9" s="6" t="n">
        <f aca="false">COUNTIFS('Pruebas de aceptación'!$B$2:$B$51,A9,'Pruebas de aceptación'!$H$2:$H$51,"Sí")</f>
        <v>0</v>
      </c>
      <c r="D9" s="6" t="n">
        <f aca="false">COUNTIFS('Pruebas de aceptación'!$B$2:$B$51,A9,'Pruebas de aceptación'!$J$2:$J$51,"Sí")</f>
        <v>0</v>
      </c>
      <c r="E9" s="7" t="n">
        <f aca="false">IF(B9=0,0,D9/B9)</f>
        <v>0</v>
      </c>
    </row>
    <row r="10" customFormat="false" ht="15" hidden="false" customHeight="false" outlineLevel="0" collapsed="false">
      <c r="A10" s="6" t="s">
        <v>118</v>
      </c>
      <c r="B10" s="6" t="n">
        <f aca="false">COUNTIF('Pruebas de aceptación'!$B$2:$B$51,A10)</f>
        <v>3</v>
      </c>
      <c r="C10" s="6" t="n">
        <f aca="false">COUNTIFS('Pruebas de aceptación'!$B$2:$B$51,A10,'Pruebas de aceptación'!$H$2:$H$51,"Sí")</f>
        <v>0</v>
      </c>
      <c r="D10" s="6" t="n">
        <f aca="false">COUNTIFS('Pruebas de aceptación'!$B$2:$B$51,A10,'Pruebas de aceptación'!$J$2:$J$51,"Sí")</f>
        <v>0</v>
      </c>
      <c r="E10" s="7" t="n">
        <f aca="false">IF(B10=0,0,D10/B10)</f>
        <v>0</v>
      </c>
    </row>
    <row r="11" customFormat="false" ht="15" hidden="false" customHeight="false" outlineLevel="0" collapsed="false">
      <c r="A11" s="6" t="s">
        <v>133</v>
      </c>
      <c r="B11" s="6" t="n">
        <f aca="false">COUNTIF('Pruebas de aceptación'!$B$2:$B$51,A11)</f>
        <v>5</v>
      </c>
      <c r="C11" s="6" t="n">
        <f aca="false">COUNTIFS('Pruebas de aceptación'!$B$2:$B$51,A11,'Pruebas de aceptación'!$H$2:$H$51,"Sí")</f>
        <v>0</v>
      </c>
      <c r="D11" s="6" t="n">
        <f aca="false">COUNTIFS('Pruebas de aceptación'!$B$2:$B$51,A11,'Pruebas de aceptación'!$J$2:$J$51,"Sí")</f>
        <v>0</v>
      </c>
      <c r="E11" s="7" t="n">
        <f aca="false">IF(B11=0,0,D11/B11)</f>
        <v>0</v>
      </c>
    </row>
    <row r="12" customFormat="false" ht="15" hidden="false" customHeight="false" outlineLevel="0" collapsed="false">
      <c r="A12" s="6" t="s">
        <v>155</v>
      </c>
      <c r="B12" s="6" t="n">
        <f aca="false">COUNTIF('Pruebas de aceptación'!$B$2:$B$51,A12)</f>
        <v>3</v>
      </c>
      <c r="C12" s="6" t="n">
        <f aca="false">COUNTIFS('Pruebas de aceptación'!$B$2:$B$51,A12,'Pruebas de aceptación'!$H$2:$H$51,"Sí")</f>
        <v>0</v>
      </c>
      <c r="D12" s="6" t="n">
        <f aca="false">COUNTIFS('Pruebas de aceptación'!$B$2:$B$51,A12,'Pruebas de aceptación'!$J$2:$J$51,"Sí")</f>
        <v>0</v>
      </c>
      <c r="E12" s="7" t="n">
        <f aca="false">IF(B12=0,0,D12/B12)</f>
        <v>0</v>
      </c>
    </row>
    <row r="13" customFormat="false" ht="15" hidden="false" customHeight="false" outlineLevel="0" collapsed="false">
      <c r="A13" s="6" t="s">
        <v>170</v>
      </c>
      <c r="B13" s="6" t="n">
        <f aca="false">COUNTIF('Pruebas de aceptación'!$B$2:$B$51,A13)</f>
        <v>6</v>
      </c>
      <c r="C13" s="6" t="n">
        <f aca="false">COUNTIFS('Pruebas de aceptación'!$B$2:$B$51,A13,'Pruebas de aceptación'!$H$2:$H$51,"Sí")</f>
        <v>0</v>
      </c>
      <c r="D13" s="6" t="n">
        <f aca="false">COUNTIFS('Pruebas de aceptación'!$B$2:$B$51,A13,'Pruebas de aceptación'!$J$2:$J$51,"Sí")</f>
        <v>0</v>
      </c>
      <c r="E13" s="7" t="n">
        <f aca="false">IF(B13=0,0,D13/B13)</f>
        <v>0</v>
      </c>
    </row>
    <row r="14" customFormat="false" ht="15" hidden="false" customHeight="false" outlineLevel="0" collapsed="false">
      <c r="A14" s="6" t="s">
        <v>198</v>
      </c>
      <c r="B14" s="6" t="n">
        <f aca="false">COUNTIF('Pruebas de aceptación'!$B$2:$B$51,A14)</f>
        <v>3</v>
      </c>
      <c r="C14" s="6" t="n">
        <f aca="false">COUNTIFS('Pruebas de aceptación'!$B$2:$B$51,A14,'Pruebas de aceptación'!$H$2:$H$51,"Sí")</f>
        <v>0</v>
      </c>
      <c r="D14" s="6" t="n">
        <f aca="false">COUNTIFS('Pruebas de aceptación'!$B$2:$B$51,A14,'Pruebas de aceptación'!$J$2:$J$51,"Sí")</f>
        <v>0</v>
      </c>
      <c r="E14" s="7" t="n">
        <f aca="false">IF(B14=0,0,D14/B14)</f>
        <v>0</v>
      </c>
    </row>
    <row r="15" customFormat="false" ht="15" hidden="false" customHeight="false" outlineLevel="0" collapsed="false">
      <c r="A15" s="6" t="s">
        <v>213</v>
      </c>
      <c r="B15" s="6" t="n">
        <f aca="false">COUNTIF('Pruebas de aceptación'!$B$2:$B$51,A15)</f>
        <v>1</v>
      </c>
      <c r="C15" s="6" t="n">
        <f aca="false">COUNTIFS('Pruebas de aceptación'!$B$2:$B$51,A15,'Pruebas de aceptación'!$H$2:$H$51,"Sí")</f>
        <v>0</v>
      </c>
      <c r="D15" s="6" t="n">
        <f aca="false">COUNTIFS('Pruebas de aceptación'!$B$2:$B$51,A15,'Pruebas de aceptación'!$J$2:$J$51,"Sí")</f>
        <v>0</v>
      </c>
      <c r="E15" s="7" t="n">
        <f aca="false">IF(B15=0,0,D15/B15)</f>
        <v>0</v>
      </c>
    </row>
    <row r="16" customFormat="false" ht="15" hidden="false" customHeight="false" outlineLevel="0" collapsed="false">
      <c r="A16" s="6" t="s">
        <v>218</v>
      </c>
      <c r="B16" s="6" t="n">
        <f aca="false">COUNTIF('Pruebas de aceptación'!$B$2:$B$51,A16)</f>
        <v>3</v>
      </c>
      <c r="C16" s="6" t="n">
        <f aca="false">COUNTIFS('Pruebas de aceptación'!$B$2:$B$51,A16,'Pruebas de aceptación'!$H$2:$H$51,"Sí")</f>
        <v>0</v>
      </c>
      <c r="D16" s="6" t="n">
        <f aca="false">COUNTIFS('Pruebas de aceptación'!$B$2:$B$51,A16,'Pruebas de aceptación'!$J$2:$J$51,"Sí")</f>
        <v>0</v>
      </c>
      <c r="E16" s="7" t="n">
        <f aca="false">IF(B16=0,0,D16/B16)</f>
        <v>0</v>
      </c>
    </row>
    <row r="17" customFormat="false" ht="15" hidden="false" customHeight="false" outlineLevel="0" collapsed="false">
      <c r="A17" s="6" t="s">
        <v>231</v>
      </c>
      <c r="B17" s="6" t="n">
        <f aca="false">COUNTIF('Pruebas de aceptación'!$B$2:$B$51,A17)</f>
        <v>4</v>
      </c>
      <c r="C17" s="6" t="n">
        <f aca="false">COUNTIFS('Pruebas de aceptación'!$B$2:$B$51,A17,'Pruebas de aceptación'!$H$2:$H$51,"Sí")</f>
        <v>0</v>
      </c>
      <c r="D17" s="6" t="n">
        <f aca="false">COUNTIFS('Pruebas de aceptación'!$B$2:$B$51,A17,'Pruebas de aceptación'!$J$2:$J$51,"Sí")</f>
        <v>0</v>
      </c>
      <c r="E17" s="7" t="n">
        <f aca="false">IF(B17=0,0,D17/B17)</f>
        <v>0</v>
      </c>
    </row>
    <row r="18" customFormat="false" ht="15" hidden="false" customHeight="false" outlineLevel="0" collapsed="false">
      <c r="A18" s="8" t="s">
        <v>256</v>
      </c>
      <c r="B18" s="8" t="n">
        <f aca="false">SUM(B4:B17)</f>
        <v>50</v>
      </c>
      <c r="C18" s="8" t="n">
        <f aca="false">SUM(C4:C17)</f>
        <v>0</v>
      </c>
      <c r="D18" s="8" t="n">
        <f aca="false">SUM(D4:D17)</f>
        <v>0</v>
      </c>
      <c r="E18" s="9" t="n">
        <f aca="false">IF(B18=0,0,D18/B18)</f>
        <v>0</v>
      </c>
    </row>
    <row r="19" customFormat="false" ht="15" hidden="false" customHeight="false" outlineLevel="0" collapsed="false">
      <c r="A19" s="10" t="s">
        <v>257</v>
      </c>
      <c r="B19" s="10" t="str">
        <f aca="false">IF(D18=B18,"SÍ","NO")</f>
        <v>NO</v>
      </c>
    </row>
    <row r="21" customFormat="false" ht="15" hidden="false" customHeight="false" outlineLevel="0" collapsed="false">
      <c r="A21" s="11" t="s">
        <v>258</v>
      </c>
    </row>
    <row r="22" customFormat="false" ht="15" hidden="false" customHeight="false" outlineLevel="0" collapsed="false">
      <c r="A22" s="11" t="s">
        <v>259</v>
      </c>
    </row>
    <row r="23" customFormat="false" ht="15" hidden="false" customHeight="false" outlineLevel="0" collapsed="false">
      <c r="A23" s="11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2026-10-15T18:40:15Z</dcterms:created>
  <dc:creator>openpyxl</dc:creator>
  <dc:description/>
  <dc:language>en-US</dc:language>
  <cp:lastModifiedBy/>
  <dcterms:modified xsi:type="dcterms:W3CDTF">2026-10-15T18:40:15Z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